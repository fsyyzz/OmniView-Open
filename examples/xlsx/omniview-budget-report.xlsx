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度业务营收与增长" sheetId="1" r:id="rId1"/>
    <sheet name="研发及运营预算明细" sheetId="2" r:id="rId2"/>
  </sheets>
</workbook>
</file>

<file path=xl/sharedStrings.xml><?xml version="1.0" encoding="utf-8"?>
<sst xmlns="http://schemas.openxmlformats.org/spreadsheetml/2006/main" count="80" uniqueCount="80">
  <si>
    <t>产品业务线</t>
  </si>
  <si>
    <t>品类分类</t>
  </si>
  <si>
    <t>第一季度 (Q1)</t>
  </si>
  <si>
    <t>第二季度 (Q2)</t>
  </si>
  <si>
    <t>第三季度 (Q3)</t>
  </si>
  <si>
    <t>第四季度 (Q4)</t>
  </si>
  <si>
    <t>年度总营收</t>
  </si>
  <si>
    <t>增长率 (YoY)</t>
  </si>
  <si>
    <t>达成状态</t>
  </si>
  <si>
    <t>OmniView IDE 商业授权</t>
  </si>
  <si>
    <t>企业开发套件</t>
  </si>
  <si>
    <t>2850000</t>
  </si>
  <si>
    <t>3200000</t>
  </si>
  <si>
    <t>3650000</t>
  </si>
  <si>
    <t>4120000</t>
  </si>
  <si>
    <t>13820000</t>
  </si>
  <si>
    <t>38.5%</t>
  </si>
  <si>
    <t>超额达成</t>
  </si>
  <si>
    <t>CodeGraph 智能索引服务</t>
  </si>
  <si>
    <t>企业AI服务</t>
  </si>
  <si>
    <t>1540000</t>
  </si>
  <si>
    <t>1920000</t>
  </si>
  <si>
    <t>2280000</t>
  </si>
  <si>
    <t>2700000</t>
  </si>
  <si>
    <t>8440000</t>
  </si>
  <si>
    <t>45.2%</t>
  </si>
  <si>
    <t>超额达成</t>
  </si>
  <si>
    <t>DiagramStudio 协同画布</t>
  </si>
  <si>
    <t>可视化套件</t>
  </si>
  <si>
    <t>980000</t>
  </si>
  <si>
    <t>1150000</t>
  </si>
  <si>
    <t>1320000</t>
  </si>
  <si>
    <t>1580000</t>
  </si>
  <si>
    <t>5030000</t>
  </si>
  <si>
    <t>26.8%</t>
  </si>
  <si>
    <t>顺利达成</t>
  </si>
  <si>
    <t>Office 三剑客解析组件</t>
  </si>
  <si>
    <t>离线组件库</t>
  </si>
  <si>
    <t>650000</t>
  </si>
  <si>
    <t>880000</t>
  </si>
  <si>
    <t>1050000</t>
  </si>
  <si>
    <t>1350000</t>
  </si>
  <si>
    <t>3930000</t>
  </si>
  <si>
    <t>52.1%</t>
  </si>
  <si>
    <t>超额达成</t>
  </si>
  <si>
    <t>部门与支出项目</t>
  </si>
  <si>
    <t>负责人</t>
  </si>
  <si>
    <t>年度规划预算 (¥)</t>
  </si>
  <si>
    <t>实际已执行支出 (¥)</t>
  </si>
  <si>
    <t>剩余可用预算 (¥)</t>
  </si>
  <si>
    <t>预算执行率</t>
  </si>
  <si>
    <t>风险预警</t>
  </si>
  <si>
    <t>AI 核心架构组</t>
  </si>
  <si>
    <t>赵工</t>
  </si>
  <si>
    <t>5000000</t>
  </si>
  <si>
    <t>3200000</t>
  </si>
  <si>
    <t>1800000</t>
  </si>
  <si>
    <t>64.0%</t>
  </si>
  <si>
    <t>正常</t>
  </si>
  <si>
    <t>前端体验与渲染组</t>
  </si>
  <si>
    <t>李工</t>
  </si>
  <si>
    <t>3500000</t>
  </si>
  <si>
    <t>2450000</t>
  </si>
  <si>
    <t>1050000</t>
  </si>
  <si>
    <t>70.0%</t>
  </si>
  <si>
    <t>正常</t>
  </si>
  <si>
    <t>云原生基础设施组</t>
  </si>
  <si>
    <t>王工</t>
  </si>
  <si>
    <t>4000000</t>
  </si>
  <si>
    <t>3100000</t>
  </si>
  <si>
    <t>900000</t>
  </si>
  <si>
    <t>77.5%</t>
  </si>
  <si>
    <t>关注</t>
  </si>
  <si>
    <t>质量工程与对抗测试组</t>
  </si>
  <si>
    <t>张工</t>
  </si>
  <si>
    <t>2000000</t>
  </si>
  <si>
    <t>1300000</t>
  </si>
  <si>
    <t>700000</t>
  </si>
  <si>
    <t>65.0%</t>
  </si>
  <si>
    <t>正常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</si>
</sst>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I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>
        <v>2850000</v>
      </c>
      <c r="D2">
        <v>3200000</v>
      </c>
      <c r="E2">
        <v>3650000</v>
      </c>
      <c r="F2">
        <v>4120000</v>
      </c>
      <c r="G2">
        <f>SUM(C2:F2)</f>
        <v>13820000</v>
      </c>
      <c r="H2" t="s">
        <v>16</v>
      </c>
      <c r="I2" t="s">
        <v>17</v>
      </c>
    </row>
    <row r="3">
      <c r="A3" t="s">
        <v>18</v>
      </c>
      <c r="B3" t="s">
        <v>19</v>
      </c>
      <c r="C3">
        <v>1540000</v>
      </c>
      <c r="D3">
        <v>1920000</v>
      </c>
      <c r="E3">
        <v>2280000</v>
      </c>
      <c r="F3">
        <v>2700000</v>
      </c>
      <c r="G3">
        <f>SUM(C3:F3)</f>
        <v>8440000</v>
      </c>
      <c r="H3" t="s">
        <v>25</v>
      </c>
      <c r="I3" t="s">
        <v>26</v>
      </c>
    </row>
    <row r="4">
      <c r="A4" t="s">
        <v>27</v>
      </c>
      <c r="B4" t="s">
        <v>28</v>
      </c>
      <c r="C4">
        <v>980000</v>
      </c>
      <c r="D4">
        <v>1150000</v>
      </c>
      <c r="E4">
        <v>1320000</v>
      </c>
      <c r="F4">
        <v>1580000</v>
      </c>
      <c r="G4">
        <f>SUM(C4:F4)</f>
        <v>5030000</v>
      </c>
      <c r="H4" t="s">
        <v>34</v>
      </c>
      <c r="I4" t="s">
        <v>35</v>
      </c>
    </row>
    <row r="5">
      <c r="A5" t="s">
        <v>36</v>
      </c>
      <c r="B5" t="s">
        <v>37</v>
      </c>
      <c r="C5">
        <v>650000</v>
      </c>
      <c r="D5">
        <v>880000</v>
      </c>
      <c r="E5">
        <v>1050000</v>
      </c>
      <c r="F5">
        <v>1350000</v>
      </c>
      <c r="G5">
        <f>SUM(C5:F5)</f>
        <v>3930000</v>
      </c>
      <c r="H5" t="s">
        <v>43</v>
      </c>
      <c r="I5" t="s">
        <v>44</v>
      </c>
    </row>
  </sheetData>
</worksheet>
</file>

<file path=xl/worksheets/sheet2.xml><?xml version="1.0" encoding="utf-8"?>
<worksheet xmlns="http://schemas.openxmlformats.org/spreadsheetml/2006/main">
  <dimension ref="A1:G5"/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>
      <c r="A2" t="s">
        <v>52</v>
      </c>
      <c r="B2" t="s">
        <v>53</v>
      </c>
      <c r="C2">
        <v>5000000</v>
      </c>
      <c r="D2">
        <v>3200000</v>
      </c>
      <c r="E2">
        <f>C2-D2</f>
        <v>1800000</v>
      </c>
      <c r="F2" t="s">
        <v>57</v>
      </c>
      <c r="G2" t="s">
        <v>58</v>
      </c>
    </row>
    <row r="3">
      <c r="A3" t="s">
        <v>59</v>
      </c>
      <c r="B3" t="s">
        <v>60</v>
      </c>
      <c r="C3">
        <v>3500000</v>
      </c>
      <c r="D3">
        <v>2450000</v>
      </c>
      <c r="E3">
        <f>C3-D3</f>
        <v>1050000</v>
      </c>
      <c r="F3" t="s">
        <v>64</v>
      </c>
      <c r="G3" t="s">
        <v>65</v>
      </c>
    </row>
    <row r="4">
      <c r="A4" t="s">
        <v>66</v>
      </c>
      <c r="B4" t="s">
        <v>67</v>
      </c>
      <c r="C4">
        <v>4000000</v>
      </c>
      <c r="D4">
        <v>3100000</v>
      </c>
      <c r="E4">
        <f>C4-D4</f>
        <v>900000</v>
      </c>
      <c r="F4" t="s">
        <v>71</v>
      </c>
      <c r="G4" t="s">
        <v>72</v>
      </c>
    </row>
    <row r="5">
      <c r="A5" t="s">
        <v>73</v>
      </c>
      <c r="B5" t="s">
        <v>74</v>
      </c>
      <c r="C5">
        <v>2000000</v>
      </c>
      <c r="D5">
        <v>1300000</v>
      </c>
      <c r="E5">
        <f>C5-D5</f>
        <v>700000</v>
      </c>
      <c r="F5" t="s">
        <v>78</v>
      </c>
      <c r="G5" t="s">
        <v>79</v>
      </c>
    </row>
  </sheetData>
</worksheet>
</file>

<file path=docProps/app.xml><?xml version="1.0" encoding="utf-8"?>
<Properties xmlns="http://schemas.openxmlformats.org/officeDocument/2006/extended-properties">
  <Application>OmniView Professional Spreadsheet Suite</Application>
  <DocSecurity>0</DocSecurity>
  <ScaleCrop>false</ScaleCrop>
  <HeadingPairs>
    <vt:vector xmlns:vt="http://schemas.openxmlformats.org/officeDocument/2006/docPropsVTypes" size="2" baseType="variant">
      <vt:variant>
        <vt:lpstr>Worksheets</vt:lpstr>
      </vt:variant>
      <vt:variant>
        <vt:i4>2</vt:i4>
      </vt:variant>
    </vt:vector>
  </HeadingPairs>
  <TitlesOfParts>
    <vt:vector xmlns:vt="http://schemas.openxmlformats.org/officeDocument/2006/docPropsVTypes" size="2" baseType="lpstr">
      <vt:lpstr>2026年度业务营收与增长</vt:lpstr>
      <vt:lpstr>研发及运营预算明细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OmniView 业务数据总览与预算报表</dc:title>
  <dc:creator>OmniView Architecture Team</dc:creator>
  <cp:lastModifiedBy>OmniView Architecture Team</cp:lastModifiedBy>
  <dcterms:created xmlns:xsi="http://www.w3.org/2001/XMLSchema-instance" xsi:type="dcterms:W3CDTF">2026-09-17T12:00:00Z</dcterms:created>
  <dcterms:modified xmlns:xsi="http://www.w3.org/2001/XMLSchema-instance" xsi:type="dcterms:W3CDTF">2026-09-17T12:00:00Z</dcterms:modified>
</cp:coreProperties>
</file>